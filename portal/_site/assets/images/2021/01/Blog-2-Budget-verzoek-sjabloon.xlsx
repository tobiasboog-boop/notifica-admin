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sqqnl-my.sharepoint.com/personal/mcharing_bisqq_nl1/Documents/1_BisQQ/Diensten/Notifica Reports_as_a_Service/Marketing/SBC syntess_installatiesector_bisqq/"/>
    </mc:Choice>
  </mc:AlternateContent>
  <xr:revisionPtr revIDLastSave="156" documentId="8_{C039679E-DEAF-42E7-9256-FB89E72586C7}" xr6:coauthVersionLast="46" xr6:coauthVersionMax="46" xr10:uidLastSave="{515AB347-9D53-4A83-9C10-AD520B70CA9E}"/>
  <bookViews>
    <workbookView xWindow="-120" yWindow="-120" windowWidth="29040" windowHeight="15840" xr2:uid="{A5A8C046-2DCA-48AD-8293-91AEB11A96EF}"/>
  </bookViews>
  <sheets>
    <sheet name="1. Projectwaarde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G49" i="1"/>
  <c r="H49" i="1"/>
  <c r="E49" i="1"/>
  <c r="I8" i="1"/>
  <c r="I49" i="1" s="1"/>
  <c r="C49" i="1"/>
  <c r="B49" i="1"/>
  <c r="D8" i="1"/>
  <c r="J8" i="1" s="1"/>
  <c r="J49" i="1" s="1"/>
  <c r="K8" i="1" l="1"/>
  <c r="M8" i="1" s="1"/>
  <c r="N8" i="1" s="1"/>
  <c r="N49" i="1" s="1"/>
  <c r="D51" i="1" s="1"/>
  <c r="D49" i="1"/>
</calcChain>
</file>

<file path=xl/sharedStrings.xml><?xml version="1.0" encoding="utf-8"?>
<sst xmlns="http://schemas.openxmlformats.org/spreadsheetml/2006/main" count="31" uniqueCount="31">
  <si>
    <t>Project</t>
  </si>
  <si>
    <t>X</t>
  </si>
  <si>
    <t>Opmerking</t>
  </si>
  <si>
    <t>Waardering</t>
  </si>
  <si>
    <t>Administratie</t>
  </si>
  <si>
    <t>Akkoord door:</t>
  </si>
  <si>
    <t>Projectleider</t>
  </si>
  <si>
    <t>Initieel budget</t>
  </si>
  <si>
    <t>Uurtarief</t>
  </si>
  <si>
    <t>Budget verzoek</t>
  </si>
  <si>
    <t>Onderaanneming  (€)</t>
  </si>
  <si>
    <t>Materiaal  (€)</t>
  </si>
  <si>
    <t>Arbeid (#)</t>
  </si>
  <si>
    <t>Resultaat budget</t>
  </si>
  <si>
    <t>Totaal verzoek</t>
  </si>
  <si>
    <t>Budget opbrengst (=order)</t>
  </si>
  <si>
    <t>budget kosten (=calculatie)</t>
  </si>
  <si>
    <t>Prognose</t>
  </si>
  <si>
    <t>Voortgang</t>
  </si>
  <si>
    <t>Definitieve kosten tot boekdatum</t>
  </si>
  <si>
    <t>Boekdatum</t>
  </si>
  <si>
    <t>Resultaat prognose*</t>
  </si>
  <si>
    <t>* Resultaat prognose = aangepast verwacht resultaat op basis van intiele budget + budget verzoek.</t>
  </si>
  <si>
    <t xml:space="preserve"> </t>
  </si>
  <si>
    <t>BisQQ installatietechniek</t>
  </si>
  <si>
    <t>Mark Haring</t>
  </si>
  <si>
    <t>De totale projectwaardering is:</t>
  </si>
  <si>
    <t>Prognose kosten**</t>
  </si>
  <si>
    <t>POC o.b.v. kosten***</t>
  </si>
  <si>
    <t>*** Percentage of Completeness op basis van de kosten = Definitieve kosten / Prognose kosten</t>
  </si>
  <si>
    <t>** Prognose kosten zijn de totaal te verwachten kosten = budget kosten + kosten vanuit verzoek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</si>
</sst>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[$€-2]\ * #,##0_ ;_ [$€-2]\ * \-#,##0_ ;_ [$€-2]\ * &quot;-&quot;??_ ;_ @_ "/>
    <numFmt numFmtId="165" formatCode="_ [$€-413]\ * #,##0_ ;_ [$€-413]\ * \-#,##0_ ;_ [$€-413]\ * &quot;-&quot;??_ ;_ @_ "/>
    <numFmt numFmtId="16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2" xfId="0" applyNumberFormat="1" applyFill="1" applyBorder="1"/>
    <xf numFmtId="0" fontId="0" fillId="2" borderId="4" xfId="0" applyFill="1" applyBorder="1"/>
    <xf numFmtId="0" fontId="0" fillId="2" borderId="6" xfId="0" applyFill="1" applyBorder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2" borderId="2" xfId="0" applyFill="1" applyBorder="1"/>
    <xf numFmtId="164" fontId="0" fillId="4" borderId="11" xfId="0" applyNumberFormat="1" applyFill="1" applyBorder="1"/>
    <xf numFmtId="0" fontId="0" fillId="5" borderId="9" xfId="0" applyFill="1" applyBorder="1"/>
    <xf numFmtId="164" fontId="0" fillId="5" borderId="10" xfId="0" applyNumberFormat="1" applyFill="1" applyBorder="1"/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 wrapText="1"/>
    </xf>
    <xf numFmtId="164" fontId="0" fillId="2" borderId="0" xfId="0" applyNumberFormat="1" applyFill="1" applyAlignment="1">
      <alignment vertical="top"/>
    </xf>
    <xf numFmtId="0" fontId="0" fillId="0" borderId="0" xfId="0" applyAlignment="1">
      <alignment vertical="top"/>
    </xf>
    <xf numFmtId="164" fontId="0" fillId="3" borderId="0" xfId="0" applyNumberFormat="1" applyFill="1" applyBorder="1" applyAlignment="1">
      <alignment horizontal="left"/>
    </xf>
    <xf numFmtId="9" fontId="0" fillId="2" borderId="0" xfId="2" applyFont="1" applyFill="1"/>
    <xf numFmtId="164" fontId="0" fillId="0" borderId="0" xfId="0" applyNumberFormat="1" applyFill="1" applyBorder="1" applyAlignment="1">
      <alignment horizontal="left"/>
    </xf>
    <xf numFmtId="164" fontId="0" fillId="0" borderId="0" xfId="0" applyNumberFormat="1" applyFill="1"/>
    <xf numFmtId="164" fontId="0" fillId="0" borderId="0" xfId="0" applyNumberFormat="1" applyFill="1" applyBorder="1"/>
    <xf numFmtId="164" fontId="0" fillId="9" borderId="0" xfId="0" applyNumberFormat="1" applyFill="1" applyAlignment="1">
      <alignment horizontal="center"/>
    </xf>
    <xf numFmtId="14" fontId="0" fillId="3" borderId="0" xfId="0" applyNumberFormat="1" applyFill="1" applyBorder="1" applyAlignment="1">
      <alignment horizontal="left"/>
    </xf>
    <xf numFmtId="164" fontId="0" fillId="3" borderId="5" xfId="0" applyNumberFormat="1" applyFill="1" applyBorder="1" applyAlignment="1">
      <alignment horizontal="left"/>
    </xf>
    <xf numFmtId="164" fontId="0" fillId="9" borderId="0" xfId="0" applyNumberFormat="1" applyFont="1" applyFill="1" applyAlignment="1">
      <alignment vertical="top"/>
    </xf>
    <xf numFmtId="165" fontId="0" fillId="9" borderId="0" xfId="2" applyNumberFormat="1" applyFont="1" applyFill="1"/>
    <xf numFmtId="164" fontId="0" fillId="9" borderId="0" xfId="0" applyNumberFormat="1" applyFont="1" applyFill="1"/>
    <xf numFmtId="164" fontId="0" fillId="9" borderId="2" xfId="0" applyNumberFormat="1" applyFont="1" applyFill="1" applyBorder="1"/>
    <xf numFmtId="166" fontId="0" fillId="3" borderId="0" xfId="1" applyNumberFormat="1" applyFont="1" applyFill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3" borderId="7" xfId="0" applyNumberFormat="1" applyFill="1" applyBorder="1" applyAlignment="1">
      <alignment horizontal="left"/>
    </xf>
    <xf numFmtId="164" fontId="0" fillId="3" borderId="8" xfId="0" applyNumberFormat="1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164" fontId="0" fillId="3" borderId="3" xfId="0" applyNumberFormat="1" applyFill="1" applyBorder="1" applyAlignment="1">
      <alignment horizontal="left"/>
    </xf>
    <xf numFmtId="164" fontId="0" fillId="4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</cellXfs>
  <cellStyles count="3">
    <cellStyle name="Komma" xfId="1" builtinId="3"/>
    <cellStyle name="Procent" xfId="2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A5FC-EC00-415D-BFF2-28F13F5C9C64}">
  <dimension ref="A1:O55"/>
  <sheetViews>
    <sheetView tabSelected="1" workbookViewId="0">
      <selection activeCell="N8" sqref="N8"/>
    </sheetView>
  </sheetViews>
  <sheetFormatPr defaultRowHeight="15" x14ac:dyDescent="0.25"/>
  <cols>
    <col min="1" max="1" width="13.28515625" bestFit="1" customWidth="1"/>
    <col min="2" max="2" width="17.140625" style="1" customWidth="1"/>
    <col min="3" max="3" width="19.140625" style="1" customWidth="1"/>
    <col min="4" max="4" width="16.42578125" style="1" bestFit="1" customWidth="1"/>
    <col min="5" max="5" width="13.28515625" style="1" bestFit="1" customWidth="1"/>
    <col min="6" max="6" width="22.28515625" style="1" customWidth="1"/>
    <col min="7" max="8" width="16.42578125" style="1" customWidth="1"/>
    <col min="9" max="9" width="17.28515625" style="1" customWidth="1"/>
    <col min="10" max="10" width="19.140625" style="1" bestFit="1" customWidth="1"/>
    <col min="11" max="12" width="19.140625" style="1" customWidth="1"/>
    <col min="13" max="13" width="20.7109375" style="1" bestFit="1" customWidth="1"/>
    <col min="14" max="14" width="19.140625" style="1" customWidth="1"/>
    <col min="15" max="15" width="41.5703125" customWidth="1"/>
  </cols>
  <sheetData>
    <row r="1" spans="1:15" x14ac:dyDescent="0.25">
      <c r="A1" s="2" t="s">
        <v>4</v>
      </c>
      <c r="B1" s="34" t="s">
        <v>24</v>
      </c>
      <c r="C1" s="34"/>
      <c r="D1" s="35"/>
      <c r="E1" s="19"/>
      <c r="F1" s="19"/>
      <c r="G1" s="19"/>
      <c r="H1" s="19"/>
      <c r="I1" s="20"/>
    </row>
    <row r="2" spans="1:15" x14ac:dyDescent="0.25">
      <c r="A2" s="4" t="s">
        <v>20</v>
      </c>
      <c r="B2" s="23">
        <v>44227</v>
      </c>
      <c r="C2" s="17"/>
      <c r="D2" s="24"/>
      <c r="E2" s="21"/>
      <c r="F2" s="21"/>
      <c r="G2" s="21"/>
      <c r="H2" s="21"/>
      <c r="I2" s="20"/>
    </row>
    <row r="3" spans="1:15" x14ac:dyDescent="0.25">
      <c r="A3" s="4" t="s">
        <v>6</v>
      </c>
      <c r="B3" s="17" t="s">
        <v>25</v>
      </c>
      <c r="C3" s="17"/>
      <c r="D3" s="24"/>
      <c r="E3" s="21"/>
      <c r="F3" s="21"/>
      <c r="G3" s="21"/>
      <c r="H3" s="21"/>
      <c r="I3" s="20"/>
    </row>
    <row r="4" spans="1:15" ht="15.75" thickBot="1" x14ac:dyDescent="0.3">
      <c r="A4" s="5" t="s">
        <v>5</v>
      </c>
      <c r="B4" s="32"/>
      <c r="C4" s="32"/>
      <c r="D4" s="33"/>
      <c r="E4" s="19"/>
      <c r="F4" s="19"/>
      <c r="G4" s="19"/>
      <c r="H4" s="19"/>
      <c r="I4" s="20"/>
    </row>
    <row r="6" spans="1:15" x14ac:dyDescent="0.25">
      <c r="B6" s="36" t="s">
        <v>7</v>
      </c>
      <c r="C6" s="36"/>
      <c r="D6" s="36"/>
      <c r="E6" s="37" t="s">
        <v>9</v>
      </c>
      <c r="F6" s="37"/>
      <c r="G6" s="37"/>
      <c r="H6" s="37"/>
      <c r="I6" s="37"/>
      <c r="J6" s="38" t="s">
        <v>17</v>
      </c>
      <c r="K6" s="38"/>
      <c r="L6" s="31" t="s">
        <v>18</v>
      </c>
      <c r="M6" s="31"/>
      <c r="N6" s="22" t="s">
        <v>3</v>
      </c>
    </row>
    <row r="7" spans="1:15" s="16" customFormat="1" ht="36" customHeight="1" x14ac:dyDescent="0.25">
      <c r="A7" s="13" t="s">
        <v>0</v>
      </c>
      <c r="B7" s="14" t="s">
        <v>15</v>
      </c>
      <c r="C7" s="14" t="s">
        <v>16</v>
      </c>
      <c r="D7" s="15" t="s">
        <v>13</v>
      </c>
      <c r="E7" s="14" t="s">
        <v>11</v>
      </c>
      <c r="F7" s="14" t="s">
        <v>10</v>
      </c>
      <c r="G7" s="14" t="s">
        <v>12</v>
      </c>
      <c r="H7" s="14" t="s">
        <v>8</v>
      </c>
      <c r="I7" s="15" t="s">
        <v>14</v>
      </c>
      <c r="J7" s="15" t="s">
        <v>21</v>
      </c>
      <c r="K7" s="15" t="s">
        <v>27</v>
      </c>
      <c r="L7" s="14" t="s">
        <v>19</v>
      </c>
      <c r="M7" s="15" t="s">
        <v>28</v>
      </c>
      <c r="N7" s="25" t="s">
        <v>23</v>
      </c>
      <c r="O7" s="15" t="s">
        <v>2</v>
      </c>
    </row>
    <row r="8" spans="1:15" x14ac:dyDescent="0.25">
      <c r="A8" s="7" t="s">
        <v>1</v>
      </c>
      <c r="B8" s="8">
        <v>200000</v>
      </c>
      <c r="C8" s="8">
        <v>170000</v>
      </c>
      <c r="D8" s="6">
        <f>B8-C8</f>
        <v>30000</v>
      </c>
      <c r="E8" s="8">
        <v>10000</v>
      </c>
      <c r="F8" s="8">
        <v>5000</v>
      </c>
      <c r="G8" s="29">
        <v>20</v>
      </c>
      <c r="H8" s="8">
        <v>50</v>
      </c>
      <c r="I8" s="6">
        <f>E8+F8+(G8*H8)</f>
        <v>16000</v>
      </c>
      <c r="J8" s="6">
        <f>D8-I8</f>
        <v>14000</v>
      </c>
      <c r="K8" s="6">
        <f>C8+I8</f>
        <v>186000</v>
      </c>
      <c r="L8" s="8">
        <v>75000</v>
      </c>
      <c r="M8" s="18">
        <f>L8/K8</f>
        <v>0.40322580645161288</v>
      </c>
      <c r="N8" s="26">
        <f>M8*J8</f>
        <v>5645.1612903225805</v>
      </c>
      <c r="O8" s="7"/>
    </row>
    <row r="9" spans="1:15" x14ac:dyDescent="0.25">
      <c r="A9" s="7"/>
      <c r="B9" s="8"/>
      <c r="C9" s="8"/>
      <c r="D9" s="6"/>
      <c r="E9" s="8"/>
      <c r="F9" s="8"/>
      <c r="G9" s="29"/>
      <c r="H9" s="8"/>
      <c r="I9" s="6"/>
      <c r="J9" s="6"/>
      <c r="K9" s="6"/>
      <c r="L9" s="8"/>
      <c r="M9" s="6"/>
      <c r="N9" s="27"/>
      <c r="O9" s="7"/>
    </row>
    <row r="10" spans="1:15" x14ac:dyDescent="0.25">
      <c r="A10" s="7"/>
      <c r="B10" s="8"/>
      <c r="C10" s="8"/>
      <c r="D10" s="6"/>
      <c r="E10" s="8"/>
      <c r="F10" s="8"/>
      <c r="G10" s="29"/>
      <c r="H10" s="8"/>
      <c r="I10" s="6"/>
      <c r="J10" s="6"/>
      <c r="K10" s="6"/>
      <c r="L10" s="8"/>
      <c r="M10" s="6"/>
      <c r="N10" s="27"/>
      <c r="O10" s="7"/>
    </row>
    <row r="11" spans="1:15" x14ac:dyDescent="0.25">
      <c r="A11" s="7"/>
      <c r="B11" s="8"/>
      <c r="C11" s="8"/>
      <c r="D11" s="6"/>
      <c r="E11" s="8"/>
      <c r="F11" s="8"/>
      <c r="G11" s="29"/>
      <c r="H11" s="8"/>
      <c r="I11" s="6"/>
      <c r="J11" s="6"/>
      <c r="K11" s="6"/>
      <c r="L11" s="8"/>
      <c r="M11" s="6"/>
      <c r="N11" s="27"/>
      <c r="O11" s="7"/>
    </row>
    <row r="12" spans="1:15" x14ac:dyDescent="0.25">
      <c r="A12" s="7"/>
      <c r="B12" s="8"/>
      <c r="C12" s="8"/>
      <c r="D12" s="6"/>
      <c r="E12" s="8"/>
      <c r="F12" s="8"/>
      <c r="G12" s="29"/>
      <c r="H12" s="8"/>
      <c r="I12" s="6"/>
      <c r="J12" s="6"/>
      <c r="K12" s="6"/>
      <c r="L12" s="8"/>
      <c r="M12" s="6"/>
      <c r="N12" s="27"/>
      <c r="O12" s="7"/>
    </row>
    <row r="13" spans="1:15" x14ac:dyDescent="0.25">
      <c r="A13" s="7"/>
      <c r="B13" s="8"/>
      <c r="C13" s="8"/>
      <c r="D13" s="6"/>
      <c r="E13" s="8"/>
      <c r="F13" s="8"/>
      <c r="G13" s="29"/>
      <c r="H13" s="8"/>
      <c r="I13" s="6"/>
      <c r="J13" s="6"/>
      <c r="K13" s="6"/>
      <c r="L13" s="8"/>
      <c r="M13" s="6"/>
      <c r="N13" s="27"/>
      <c r="O13" s="7"/>
    </row>
    <row r="14" spans="1:15" x14ac:dyDescent="0.25">
      <c r="A14" s="7"/>
      <c r="B14" s="8"/>
      <c r="C14" s="8"/>
      <c r="D14" s="6"/>
      <c r="E14" s="8"/>
      <c r="F14" s="8"/>
      <c r="G14" s="29"/>
      <c r="H14" s="8"/>
      <c r="I14" s="6"/>
      <c r="J14" s="6"/>
      <c r="K14" s="6"/>
      <c r="L14" s="8"/>
      <c r="M14" s="6"/>
      <c r="N14" s="27"/>
      <c r="O14" s="7"/>
    </row>
    <row r="15" spans="1:15" x14ac:dyDescent="0.25">
      <c r="A15" s="7"/>
      <c r="B15" s="8"/>
      <c r="C15" s="8"/>
      <c r="D15" s="6"/>
      <c r="E15" s="8"/>
      <c r="F15" s="8"/>
      <c r="G15" s="29"/>
      <c r="H15" s="8"/>
      <c r="I15" s="6"/>
      <c r="J15" s="6"/>
      <c r="K15" s="6"/>
      <c r="L15" s="8"/>
      <c r="M15" s="6"/>
      <c r="N15" s="27"/>
      <c r="O15" s="7"/>
    </row>
    <row r="16" spans="1:15" x14ac:dyDescent="0.25">
      <c r="A16" s="7"/>
      <c r="B16" s="8"/>
      <c r="C16" s="8"/>
      <c r="D16" s="6"/>
      <c r="E16" s="8"/>
      <c r="F16" s="8"/>
      <c r="G16" s="29"/>
      <c r="H16" s="8"/>
      <c r="I16" s="6"/>
      <c r="J16" s="6"/>
      <c r="K16" s="6"/>
      <c r="L16" s="8"/>
      <c r="M16" s="6"/>
      <c r="N16" s="27"/>
      <c r="O16" s="7"/>
    </row>
    <row r="17" spans="1:15" x14ac:dyDescent="0.25">
      <c r="A17" s="7"/>
      <c r="B17" s="8"/>
      <c r="C17" s="8"/>
      <c r="D17" s="6"/>
      <c r="E17" s="8"/>
      <c r="F17" s="8"/>
      <c r="G17" s="29"/>
      <c r="H17" s="8"/>
      <c r="I17" s="6"/>
      <c r="J17" s="6"/>
      <c r="K17" s="6"/>
      <c r="L17" s="8"/>
      <c r="M17" s="6"/>
      <c r="N17" s="27"/>
      <c r="O17" s="7"/>
    </row>
    <row r="18" spans="1:15" x14ac:dyDescent="0.25">
      <c r="A18" s="7"/>
      <c r="B18" s="8"/>
      <c r="C18" s="8"/>
      <c r="D18" s="6"/>
      <c r="E18" s="8"/>
      <c r="F18" s="8"/>
      <c r="G18" s="29"/>
      <c r="H18" s="8"/>
      <c r="I18" s="6"/>
      <c r="J18" s="6"/>
      <c r="K18" s="6"/>
      <c r="L18" s="8"/>
      <c r="M18" s="6"/>
      <c r="N18" s="27"/>
      <c r="O18" s="7"/>
    </row>
    <row r="19" spans="1:15" x14ac:dyDescent="0.25">
      <c r="A19" s="7"/>
      <c r="B19" s="8"/>
      <c r="C19" s="8"/>
      <c r="D19" s="6"/>
      <c r="E19" s="8"/>
      <c r="F19" s="8"/>
      <c r="G19" s="29"/>
      <c r="H19" s="8"/>
      <c r="I19" s="6"/>
      <c r="J19" s="6"/>
      <c r="K19" s="6"/>
      <c r="L19" s="8"/>
      <c r="M19" s="6"/>
      <c r="N19" s="27"/>
      <c r="O19" s="7"/>
    </row>
    <row r="20" spans="1:15" x14ac:dyDescent="0.25">
      <c r="A20" s="7"/>
      <c r="B20" s="8"/>
      <c r="C20" s="8"/>
      <c r="D20" s="6"/>
      <c r="E20" s="8"/>
      <c r="F20" s="8"/>
      <c r="G20" s="29"/>
      <c r="H20" s="8"/>
      <c r="I20" s="6"/>
      <c r="J20" s="6"/>
      <c r="K20" s="6"/>
      <c r="L20" s="8"/>
      <c r="M20" s="6"/>
      <c r="N20" s="27"/>
      <c r="O20" s="7"/>
    </row>
    <row r="21" spans="1:15" x14ac:dyDescent="0.25">
      <c r="A21" s="7"/>
      <c r="B21" s="8"/>
      <c r="C21" s="8"/>
      <c r="D21" s="6"/>
      <c r="E21" s="8"/>
      <c r="F21" s="8"/>
      <c r="G21" s="29"/>
      <c r="H21" s="8"/>
      <c r="I21" s="6"/>
      <c r="J21" s="6"/>
      <c r="K21" s="6"/>
      <c r="L21" s="8"/>
      <c r="M21" s="6"/>
      <c r="N21" s="27"/>
      <c r="O21" s="7"/>
    </row>
    <row r="22" spans="1:15" x14ac:dyDescent="0.25">
      <c r="A22" s="7"/>
      <c r="B22" s="8"/>
      <c r="C22" s="8"/>
      <c r="D22" s="6"/>
      <c r="E22" s="8"/>
      <c r="F22" s="8"/>
      <c r="G22" s="29"/>
      <c r="H22" s="8"/>
      <c r="I22" s="6"/>
      <c r="J22" s="6"/>
      <c r="K22" s="6"/>
      <c r="L22" s="8"/>
      <c r="M22" s="6"/>
      <c r="N22" s="27"/>
      <c r="O22" s="7"/>
    </row>
    <row r="23" spans="1:15" hidden="1" x14ac:dyDescent="0.25">
      <c r="A23" s="7"/>
      <c r="B23" s="8"/>
      <c r="C23" s="8"/>
      <c r="D23" s="6"/>
      <c r="E23" s="8"/>
      <c r="F23" s="8"/>
      <c r="G23" s="29"/>
      <c r="H23" s="8"/>
      <c r="I23" s="6"/>
      <c r="J23" s="6"/>
      <c r="K23" s="6"/>
      <c r="L23" s="8"/>
      <c r="M23" s="6"/>
      <c r="N23" s="27"/>
      <c r="O23" s="7"/>
    </row>
    <row r="24" spans="1:15" hidden="1" x14ac:dyDescent="0.25">
      <c r="A24" s="7"/>
      <c r="B24" s="8"/>
      <c r="C24" s="8"/>
      <c r="D24" s="6"/>
      <c r="E24" s="8"/>
      <c r="F24" s="8"/>
      <c r="G24" s="29"/>
      <c r="H24" s="8"/>
      <c r="I24" s="6"/>
      <c r="J24" s="6"/>
      <c r="K24" s="6"/>
      <c r="L24" s="8"/>
      <c r="M24" s="6"/>
      <c r="N24" s="27"/>
      <c r="O24" s="7"/>
    </row>
    <row r="25" spans="1:15" hidden="1" x14ac:dyDescent="0.25">
      <c r="A25" s="7"/>
      <c r="B25" s="8"/>
      <c r="C25" s="8"/>
      <c r="D25" s="6"/>
      <c r="E25" s="8"/>
      <c r="F25" s="8"/>
      <c r="G25" s="29"/>
      <c r="H25" s="8"/>
      <c r="I25" s="6"/>
      <c r="J25" s="6"/>
      <c r="K25" s="6"/>
      <c r="L25" s="8"/>
      <c r="M25" s="6"/>
      <c r="N25" s="27"/>
      <c r="O25" s="7"/>
    </row>
    <row r="26" spans="1:15" hidden="1" x14ac:dyDescent="0.25">
      <c r="A26" s="7"/>
      <c r="B26" s="8"/>
      <c r="C26" s="8"/>
      <c r="D26" s="6"/>
      <c r="E26" s="8"/>
      <c r="F26" s="8"/>
      <c r="G26" s="29"/>
      <c r="H26" s="8"/>
      <c r="I26" s="6"/>
      <c r="J26" s="6"/>
      <c r="K26" s="6"/>
      <c r="L26" s="8"/>
      <c r="M26" s="6"/>
      <c r="N26" s="27"/>
      <c r="O26" s="7"/>
    </row>
    <row r="27" spans="1:15" hidden="1" x14ac:dyDescent="0.25">
      <c r="A27" s="7"/>
      <c r="B27" s="8"/>
      <c r="C27" s="8"/>
      <c r="D27" s="6"/>
      <c r="E27" s="8"/>
      <c r="F27" s="8"/>
      <c r="G27" s="29"/>
      <c r="H27" s="8"/>
      <c r="I27" s="6"/>
      <c r="J27" s="6"/>
      <c r="K27" s="6"/>
      <c r="L27" s="8"/>
      <c r="M27" s="6"/>
      <c r="N27" s="27"/>
      <c r="O27" s="7"/>
    </row>
    <row r="28" spans="1:15" hidden="1" x14ac:dyDescent="0.25">
      <c r="A28" s="7"/>
      <c r="B28" s="8"/>
      <c r="C28" s="8"/>
      <c r="D28" s="6"/>
      <c r="E28" s="8"/>
      <c r="F28" s="8"/>
      <c r="G28" s="29"/>
      <c r="H28" s="8"/>
      <c r="I28" s="6"/>
      <c r="J28" s="6"/>
      <c r="K28" s="6"/>
      <c r="L28" s="8"/>
      <c r="M28" s="6"/>
      <c r="N28" s="27"/>
      <c r="O28" s="7"/>
    </row>
    <row r="29" spans="1:15" hidden="1" x14ac:dyDescent="0.25">
      <c r="A29" s="7"/>
      <c r="B29" s="8"/>
      <c r="C29" s="8"/>
      <c r="D29" s="6"/>
      <c r="E29" s="8"/>
      <c r="F29" s="8"/>
      <c r="G29" s="29"/>
      <c r="H29" s="8"/>
      <c r="I29" s="6"/>
      <c r="J29" s="6"/>
      <c r="K29" s="6"/>
      <c r="L29" s="8"/>
      <c r="M29" s="6"/>
      <c r="N29" s="27"/>
      <c r="O29" s="7"/>
    </row>
    <row r="30" spans="1:15" hidden="1" x14ac:dyDescent="0.25">
      <c r="A30" s="7"/>
      <c r="B30" s="8"/>
      <c r="C30" s="8"/>
      <c r="D30" s="6"/>
      <c r="E30" s="8"/>
      <c r="F30" s="8"/>
      <c r="G30" s="29"/>
      <c r="H30" s="8"/>
      <c r="I30" s="6"/>
      <c r="J30" s="6"/>
      <c r="K30" s="6"/>
      <c r="L30" s="8"/>
      <c r="M30" s="6"/>
      <c r="N30" s="27"/>
      <c r="O30" s="7"/>
    </row>
    <row r="31" spans="1:15" hidden="1" x14ac:dyDescent="0.25">
      <c r="A31" s="7"/>
      <c r="B31" s="8"/>
      <c r="C31" s="8"/>
      <c r="D31" s="6"/>
      <c r="E31" s="8"/>
      <c r="F31" s="8"/>
      <c r="G31" s="29"/>
      <c r="H31" s="8"/>
      <c r="I31" s="6"/>
      <c r="J31" s="6"/>
      <c r="K31" s="6"/>
      <c r="L31" s="8"/>
      <c r="M31" s="6"/>
      <c r="N31" s="27"/>
      <c r="O31" s="7"/>
    </row>
    <row r="32" spans="1:15" hidden="1" x14ac:dyDescent="0.25">
      <c r="A32" s="7"/>
      <c r="B32" s="8"/>
      <c r="C32" s="8"/>
      <c r="D32" s="6"/>
      <c r="E32" s="8"/>
      <c r="F32" s="8"/>
      <c r="G32" s="29"/>
      <c r="H32" s="8"/>
      <c r="I32" s="6"/>
      <c r="J32" s="6"/>
      <c r="K32" s="6"/>
      <c r="L32" s="8"/>
      <c r="M32" s="6"/>
      <c r="N32" s="27"/>
      <c r="O32" s="7"/>
    </row>
    <row r="33" spans="1:15" hidden="1" x14ac:dyDescent="0.25">
      <c r="A33" s="7"/>
      <c r="B33" s="8"/>
      <c r="C33" s="8"/>
      <c r="D33" s="6"/>
      <c r="E33" s="8"/>
      <c r="F33" s="8"/>
      <c r="G33" s="29"/>
      <c r="H33" s="8"/>
      <c r="I33" s="6"/>
      <c r="J33" s="6"/>
      <c r="K33" s="6"/>
      <c r="L33" s="8"/>
      <c r="M33" s="6"/>
      <c r="N33" s="27"/>
      <c r="O33" s="7"/>
    </row>
    <row r="34" spans="1:15" hidden="1" x14ac:dyDescent="0.25">
      <c r="A34" s="7"/>
      <c r="B34" s="8"/>
      <c r="C34" s="8"/>
      <c r="D34" s="6"/>
      <c r="E34" s="8"/>
      <c r="F34" s="8"/>
      <c r="G34" s="29"/>
      <c r="H34" s="8"/>
      <c r="I34" s="6"/>
      <c r="J34" s="6"/>
      <c r="K34" s="6"/>
      <c r="L34" s="8"/>
      <c r="M34" s="6"/>
      <c r="N34" s="27"/>
      <c r="O34" s="7"/>
    </row>
    <row r="35" spans="1:15" hidden="1" x14ac:dyDescent="0.25">
      <c r="A35" s="7"/>
      <c r="B35" s="8"/>
      <c r="C35" s="8"/>
      <c r="D35" s="6"/>
      <c r="E35" s="8"/>
      <c r="F35" s="8"/>
      <c r="G35" s="29"/>
      <c r="H35" s="8"/>
      <c r="I35" s="6"/>
      <c r="J35" s="6"/>
      <c r="K35" s="6"/>
      <c r="L35" s="8"/>
      <c r="M35" s="6"/>
      <c r="N35" s="27"/>
      <c r="O35" s="7"/>
    </row>
    <row r="36" spans="1:15" hidden="1" x14ac:dyDescent="0.25">
      <c r="A36" s="7"/>
      <c r="B36" s="8"/>
      <c r="C36" s="8"/>
      <c r="D36" s="6"/>
      <c r="E36" s="8"/>
      <c r="F36" s="8"/>
      <c r="G36" s="29"/>
      <c r="H36" s="8"/>
      <c r="I36" s="6"/>
      <c r="J36" s="6"/>
      <c r="K36" s="6"/>
      <c r="L36" s="8"/>
      <c r="M36" s="6"/>
      <c r="N36" s="27"/>
      <c r="O36" s="7"/>
    </row>
    <row r="37" spans="1:15" hidden="1" x14ac:dyDescent="0.25">
      <c r="A37" s="7"/>
      <c r="B37" s="8"/>
      <c r="C37" s="8"/>
      <c r="D37" s="6"/>
      <c r="E37" s="8"/>
      <c r="F37" s="8"/>
      <c r="G37" s="29"/>
      <c r="H37" s="8"/>
      <c r="I37" s="6"/>
      <c r="J37" s="6"/>
      <c r="K37" s="6"/>
      <c r="L37" s="8"/>
      <c r="M37" s="6"/>
      <c r="N37" s="27"/>
      <c r="O37" s="7"/>
    </row>
    <row r="38" spans="1:15" hidden="1" x14ac:dyDescent="0.25">
      <c r="A38" s="7"/>
      <c r="B38" s="8"/>
      <c r="C38" s="8"/>
      <c r="D38" s="6"/>
      <c r="E38" s="8"/>
      <c r="F38" s="8"/>
      <c r="G38" s="29"/>
      <c r="H38" s="8"/>
      <c r="I38" s="6"/>
      <c r="J38" s="6"/>
      <c r="K38" s="6"/>
      <c r="L38" s="8"/>
      <c r="M38" s="6"/>
      <c r="N38" s="27"/>
      <c r="O38" s="7"/>
    </row>
    <row r="39" spans="1:15" hidden="1" x14ac:dyDescent="0.25">
      <c r="A39" s="7"/>
      <c r="B39" s="8"/>
      <c r="C39" s="8"/>
      <c r="D39" s="6"/>
      <c r="E39" s="8"/>
      <c r="F39" s="8"/>
      <c r="G39" s="29"/>
      <c r="H39" s="8"/>
      <c r="I39" s="6"/>
      <c r="J39" s="6"/>
      <c r="K39" s="6"/>
      <c r="L39" s="8"/>
      <c r="M39" s="6"/>
      <c r="N39" s="27"/>
      <c r="O39" s="7"/>
    </row>
    <row r="40" spans="1:15" hidden="1" x14ac:dyDescent="0.25">
      <c r="A40" s="7"/>
      <c r="B40" s="8"/>
      <c r="C40" s="8"/>
      <c r="D40" s="6"/>
      <c r="E40" s="8"/>
      <c r="F40" s="8"/>
      <c r="G40" s="29"/>
      <c r="H40" s="8"/>
      <c r="I40" s="6"/>
      <c r="J40" s="6"/>
      <c r="K40" s="6"/>
      <c r="L40" s="8"/>
      <c r="M40" s="6"/>
      <c r="N40" s="27"/>
      <c r="O40" s="7"/>
    </row>
    <row r="41" spans="1:15" hidden="1" x14ac:dyDescent="0.25">
      <c r="A41" s="7"/>
      <c r="B41" s="8"/>
      <c r="C41" s="8"/>
      <c r="D41" s="6"/>
      <c r="E41" s="8"/>
      <c r="F41" s="8"/>
      <c r="G41" s="29"/>
      <c r="H41" s="8"/>
      <c r="I41" s="6"/>
      <c r="J41" s="6"/>
      <c r="K41" s="6"/>
      <c r="L41" s="8"/>
      <c r="M41" s="6"/>
      <c r="N41" s="27"/>
      <c r="O41" s="7"/>
    </row>
    <row r="42" spans="1:15" hidden="1" x14ac:dyDescent="0.25">
      <c r="A42" s="7"/>
      <c r="B42" s="8"/>
      <c r="C42" s="8"/>
      <c r="D42" s="6"/>
      <c r="E42" s="8"/>
      <c r="F42" s="8"/>
      <c r="G42" s="29"/>
      <c r="H42" s="8"/>
      <c r="I42" s="6"/>
      <c r="J42" s="6"/>
      <c r="K42" s="6"/>
      <c r="L42" s="8"/>
      <c r="M42" s="6"/>
      <c r="N42" s="27"/>
      <c r="O42" s="7"/>
    </row>
    <row r="43" spans="1:15" hidden="1" x14ac:dyDescent="0.25">
      <c r="A43" s="7"/>
      <c r="B43" s="8"/>
      <c r="C43" s="8"/>
      <c r="D43" s="6"/>
      <c r="E43" s="8"/>
      <c r="F43" s="8"/>
      <c r="G43" s="29"/>
      <c r="H43" s="8"/>
      <c r="I43" s="6"/>
      <c r="J43" s="6"/>
      <c r="K43" s="6"/>
      <c r="L43" s="8"/>
      <c r="M43" s="6"/>
      <c r="N43" s="27"/>
      <c r="O43" s="7"/>
    </row>
    <row r="44" spans="1:15" hidden="1" x14ac:dyDescent="0.25">
      <c r="A44" s="7"/>
      <c r="B44" s="8"/>
      <c r="C44" s="8"/>
      <c r="D44" s="6"/>
      <c r="E44" s="8"/>
      <c r="F44" s="8"/>
      <c r="G44" s="29"/>
      <c r="H44" s="8"/>
      <c r="I44" s="6"/>
      <c r="J44" s="6"/>
      <c r="K44" s="6"/>
      <c r="L44" s="8"/>
      <c r="M44" s="6"/>
      <c r="N44" s="27"/>
      <c r="O44" s="7"/>
    </row>
    <row r="45" spans="1:15" hidden="1" x14ac:dyDescent="0.25">
      <c r="A45" s="7"/>
      <c r="B45" s="8"/>
      <c r="C45" s="8"/>
      <c r="D45" s="6"/>
      <c r="E45" s="8"/>
      <c r="F45" s="8"/>
      <c r="G45" s="29"/>
      <c r="H45" s="8"/>
      <c r="I45" s="6"/>
      <c r="J45" s="6"/>
      <c r="K45" s="6"/>
      <c r="L45" s="8"/>
      <c r="M45" s="6"/>
      <c r="N45" s="27"/>
      <c r="O45" s="7"/>
    </row>
    <row r="46" spans="1:15" hidden="1" x14ac:dyDescent="0.25">
      <c r="A46" s="7"/>
      <c r="B46" s="8"/>
      <c r="C46" s="8"/>
      <c r="D46" s="6"/>
      <c r="E46" s="8"/>
      <c r="F46" s="8"/>
      <c r="G46" s="29"/>
      <c r="H46" s="8"/>
      <c r="I46" s="6"/>
      <c r="J46" s="6"/>
      <c r="K46" s="6"/>
      <c r="L46" s="8"/>
      <c r="M46" s="6"/>
      <c r="N46" s="27"/>
      <c r="O46" s="7"/>
    </row>
    <row r="47" spans="1:15" hidden="1" x14ac:dyDescent="0.25">
      <c r="A47" s="7"/>
      <c r="B47" s="8"/>
      <c r="C47" s="8"/>
      <c r="D47" s="6"/>
      <c r="E47" s="8"/>
      <c r="F47" s="8"/>
      <c r="G47" s="29"/>
      <c r="H47" s="8"/>
      <c r="I47" s="6"/>
      <c r="J47" s="6"/>
      <c r="K47" s="6"/>
      <c r="L47" s="8"/>
      <c r="M47" s="6"/>
      <c r="N47" s="27"/>
      <c r="O47" s="7"/>
    </row>
    <row r="48" spans="1:15" ht="15.75" thickBot="1" x14ac:dyDescent="0.3">
      <c r="A48" s="7"/>
      <c r="B48" s="8"/>
      <c r="C48" s="8"/>
      <c r="D48" s="6"/>
      <c r="E48" s="8"/>
      <c r="F48" s="8"/>
      <c r="G48" s="29"/>
      <c r="H48" s="8"/>
      <c r="I48" s="6"/>
      <c r="J48" s="6"/>
      <c r="K48" s="6"/>
      <c r="L48" s="8"/>
      <c r="M48" s="6"/>
      <c r="N48" s="27"/>
      <c r="O48" s="7"/>
    </row>
    <row r="49" spans="1:15" x14ac:dyDescent="0.25">
      <c r="A49" s="9"/>
      <c r="B49" s="3">
        <f>SUM(B8:B48)</f>
        <v>200000</v>
      </c>
      <c r="C49" s="3">
        <f t="shared" ref="C49:D49" si="0">SUM(C8:C48)</f>
        <v>170000</v>
      </c>
      <c r="D49" s="3">
        <f t="shared" si="0"/>
        <v>30000</v>
      </c>
      <c r="E49" s="3">
        <f>SUM(E8:E48)</f>
        <v>10000</v>
      </c>
      <c r="F49" s="3">
        <f t="shared" ref="F49:H49" si="1">SUM(F8:F48)</f>
        <v>5000</v>
      </c>
      <c r="G49" s="30">
        <f t="shared" si="1"/>
        <v>20</v>
      </c>
      <c r="H49" s="3">
        <f t="shared" si="1"/>
        <v>50</v>
      </c>
      <c r="I49" s="3">
        <f>SUM(I8:I48)</f>
        <v>16000</v>
      </c>
      <c r="J49" s="3">
        <f>SUM(J8:J48)</f>
        <v>14000</v>
      </c>
      <c r="K49" s="3"/>
      <c r="L49" s="3"/>
      <c r="M49" s="3"/>
      <c r="N49" s="28">
        <f>SUM(N8:N48)</f>
        <v>5645.1612903225805</v>
      </c>
      <c r="O49" s="9"/>
    </row>
    <row r="50" spans="1:15" ht="15.75" thickBot="1" x14ac:dyDescent="0.3"/>
    <row r="51" spans="1:15" ht="15.75" thickBot="1" x14ac:dyDescent="0.3">
      <c r="A51" s="11" t="s">
        <v>26</v>
      </c>
      <c r="B51" s="12"/>
      <c r="C51" s="12"/>
      <c r="D51" s="10">
        <f>N49</f>
        <v>5645.1612903225805</v>
      </c>
      <c r="E51" s="21"/>
      <c r="F51" s="21"/>
      <c r="G51" s="21"/>
      <c r="H51" s="21"/>
    </row>
    <row r="53" spans="1:15" x14ac:dyDescent="0.25">
      <c r="A53" t="s">
        <v>22</v>
      </c>
    </row>
    <row r="54" spans="1:15" x14ac:dyDescent="0.25">
      <c r="A54" t="s">
        <v>30</v>
      </c>
    </row>
    <row r="55" spans="1:15" x14ac:dyDescent="0.25">
      <c r="A55" t="s">
        <v>29</v>
      </c>
    </row>
  </sheetData>
  <mergeCells count="6">
    <mergeCell ref="L6:M6"/>
    <mergeCell ref="B4:D4"/>
    <mergeCell ref="B1:D1"/>
    <mergeCell ref="B6:D6"/>
    <mergeCell ref="E6:I6"/>
    <mergeCell ref="J6:K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5CE1A-CB97-4065-B529-E6EE9F7146B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1. Projectwaardering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mcharing@bisqq.nl</dc:creator>
  <cp:lastModifiedBy>mcharing@bisqq.nl</cp:lastModifiedBy>
  <dcterms:created xsi:type="dcterms:W3CDTF">2021-02-07T21:14:25Z</dcterms:created>
  <dcterms:modified xsi:type="dcterms:W3CDTF">2021-03-07T19:45:41Z</dcterms:modified>
</cp:coreProperties>
</file>