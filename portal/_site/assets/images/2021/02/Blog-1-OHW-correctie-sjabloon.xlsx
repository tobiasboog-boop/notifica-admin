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sqqnl-my.sharepoint.com/personal/mcharing_bisqq_nl1/Documents/1_BisQQ/Diensten/Notifica Reports_as_a_Service/Marketing/SBC syntess_installatiesector_bisqq/"/>
    </mc:Choice>
  </mc:AlternateContent>
  <xr:revisionPtr revIDLastSave="33" documentId="8_{EDC977A1-6AF6-41DD-807C-C9FEBE0105AC}" xr6:coauthVersionLast="46" xr6:coauthVersionMax="46" xr10:uidLastSave="{83E27F27-FE48-4BED-B7DE-2ED94C5D5C47}"/>
  <bookViews>
    <workbookView xWindow="-120" yWindow="-120" windowWidth="29040" windowHeight="15840" xr2:uid="{A5A8C046-2DCA-48AD-8293-91AEB11A96EF}"/>
  </bookViews>
  <sheets>
    <sheet name="1. OHW Correctie" sheetId="1" r:id="rId1"/>
    <sheet name="2. Resultaat hoofdadministrat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2" i="2"/>
  <c r="B1" i="2"/>
  <c r="B3" i="2" s="1"/>
  <c r="B6" i="2" s="1"/>
  <c r="E47" i="1"/>
  <c r="C47" i="1"/>
  <c r="D47" i="1"/>
  <c r="B47" i="1"/>
  <c r="D6" i="1"/>
  <c r="F6" i="1" s="1"/>
  <c r="F47" i="1" s="1"/>
  <c r="D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mcharing@bisqq.nl</author>
  </authors>
  <commentList>
    <comment ref="G5" authorId="0" shapeId="0" xr:uid="{A9EB8D3E-D893-4C40-989E-7E46DAB72772}">
      <text>
        <r>
          <rPr>
            <b/>
            <sz val="9"/>
            <color indexed="81"/>
            <rFont val="Tahoma"/>
            <charset val="1"/>
          </rPr>
          <t>mcharing@bisqq.nl:</t>
        </r>
        <r>
          <rPr>
            <sz val="9"/>
            <color indexed="81"/>
            <rFont val="Tahoma"/>
            <charset val="1"/>
          </rPr>
          <t xml:space="preserve">
Onderbouwing van de waardering die aan het project is toegekend. </t>
        </r>
      </text>
    </comment>
  </commentList>
</comments>
</file>

<file path=xl/sharedStrings.xml><?xml version="1.0" encoding="utf-8"?>
<sst xmlns="http://schemas.openxmlformats.org/spreadsheetml/2006/main" count="18" uniqueCount="17">
  <si>
    <t>Project</t>
  </si>
  <si>
    <t>Kosten</t>
  </si>
  <si>
    <t>Opbrengsten</t>
  </si>
  <si>
    <t>OHW stand</t>
  </si>
  <si>
    <t>X</t>
  </si>
  <si>
    <t>Opmerking</t>
  </si>
  <si>
    <t>Grondslag waardering</t>
  </si>
  <si>
    <t>Waardering</t>
  </si>
  <si>
    <t>Correctie</t>
  </si>
  <si>
    <t>Administratie</t>
  </si>
  <si>
    <t>Akkoord door:</t>
  </si>
  <si>
    <t>De totale correctie op het resultaat is:</t>
  </si>
  <si>
    <t xml:space="preserve">Omzet </t>
  </si>
  <si>
    <t>Resultaat voor OHW correctie</t>
  </si>
  <si>
    <t>OHW correctie</t>
  </si>
  <si>
    <t>Resultaat ná OHW correctie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</si>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</sst>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2]\ * #,##0_ ;_ [$€-2]\ * \-#,##0_ ;_ [$€-2]\ * &quot;-&quot;??_ ;_ @_ "/>
    <numFmt numFmtId="165" formatCode="_ [$€-413]\ * #,##0_ ;_ [$€-413]\ * \-#,##0_ ;_ [$€-413]\ * &quot;-&quot;??_ ;_ @_ 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2" xfId="0" applyNumberFormat="1" applyFill="1" applyBorder="1"/>
    <xf numFmtId="0" fontId="0" fillId="2" borderId="4" xfId="0" applyFill="1" applyBorder="1"/>
    <xf numFmtId="0" fontId="0" fillId="2" borderId="6" xfId="0" applyFill="1" applyBorder="1"/>
    <xf numFmtId="164" fontId="0" fillId="3" borderId="0" xfId="0" applyNumberFormat="1" applyFill="1" applyBorder="1"/>
    <xf numFmtId="164" fontId="0" fillId="3" borderId="5" xfId="0" applyNumberFormat="1" applyFill="1" applyBorder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2" borderId="2" xfId="0" applyFill="1" applyBorder="1"/>
    <xf numFmtId="164" fontId="0" fillId="4" borderId="2" xfId="0" applyNumberFormat="1" applyFill="1" applyBorder="1"/>
    <xf numFmtId="164" fontId="0" fillId="4" borderId="11" xfId="0" applyNumberFormat="1" applyFill="1" applyBorder="1"/>
    <xf numFmtId="0" fontId="0" fillId="5" borderId="9" xfId="0" applyFill="1" applyBorder="1"/>
    <xf numFmtId="164" fontId="0" fillId="5" borderId="10" xfId="0" applyNumberFormat="1" applyFill="1" applyBorder="1"/>
    <xf numFmtId="165" fontId="0" fillId="2" borderId="0" xfId="0" applyNumberFormat="1" applyFill="1"/>
    <xf numFmtId="164" fontId="0" fillId="3" borderId="7" xfId="0" applyNumberFormat="1" applyFill="1" applyBorder="1" applyAlignment="1">
      <alignment horizontal="left"/>
    </xf>
    <xf numFmtId="164" fontId="0" fillId="3" borderId="8" xfId="0" applyNumberFormat="1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164" fontId="0" fillId="3" borderId="3" xfId="0" applyNumberForma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A5FC-EC00-415D-BFF2-28F13F5C9C64}">
  <dimension ref="A1:H49"/>
  <sheetViews>
    <sheetView tabSelected="1" workbookViewId="0">
      <selection activeCell="E6" sqref="E6"/>
    </sheetView>
  </sheetViews>
  <sheetFormatPr defaultRowHeight="15" x14ac:dyDescent="0.25"/>
  <cols>
    <col min="1" max="1" width="13.28515625" bestFit="1" customWidth="1"/>
    <col min="2" max="2" width="12.5703125" style="1" bestFit="1" customWidth="1"/>
    <col min="3" max="3" width="9.85546875" style="1" bestFit="1" customWidth="1"/>
    <col min="4" max="4" width="11.7109375" style="1" bestFit="1" customWidth="1"/>
    <col min="5" max="5" width="17.28515625" style="1" customWidth="1"/>
    <col min="6" max="6" width="15.42578125" style="1" customWidth="1"/>
    <col min="7" max="7" width="26.140625" style="1" customWidth="1"/>
    <col min="8" max="8" width="41.5703125" customWidth="1"/>
  </cols>
  <sheetData>
    <row r="1" spans="1:8" x14ac:dyDescent="0.25">
      <c r="A1" s="2" t="s">
        <v>9</v>
      </c>
      <c r="B1" s="20"/>
      <c r="C1" s="20"/>
      <c r="D1" s="21"/>
    </row>
    <row r="2" spans="1:8" x14ac:dyDescent="0.25">
      <c r="A2" s="4" t="s">
        <v>16</v>
      </c>
      <c r="B2" s="6"/>
      <c r="C2" s="6"/>
      <c r="D2" s="7"/>
    </row>
    <row r="3" spans="1:8" ht="15.75" thickBot="1" x14ac:dyDescent="0.3">
      <c r="A3" s="5" t="s">
        <v>10</v>
      </c>
      <c r="B3" s="18"/>
      <c r="C3" s="18"/>
      <c r="D3" s="19"/>
    </row>
    <row r="5" spans="1:8" x14ac:dyDescent="0.25">
      <c r="A5" s="8" t="s">
        <v>0</v>
      </c>
      <c r="B5" s="9" t="s">
        <v>2</v>
      </c>
      <c r="C5" s="9" t="s">
        <v>1</v>
      </c>
      <c r="D5" s="9" t="s">
        <v>3</v>
      </c>
      <c r="E5" s="9" t="s">
        <v>7</v>
      </c>
      <c r="F5" s="9" t="s">
        <v>8</v>
      </c>
      <c r="G5" s="9" t="s">
        <v>6</v>
      </c>
      <c r="H5" s="9" t="s">
        <v>5</v>
      </c>
    </row>
    <row r="6" spans="1:8" x14ac:dyDescent="0.25">
      <c r="A6" s="10" t="s">
        <v>4</v>
      </c>
      <c r="B6" s="11">
        <v>100000</v>
      </c>
      <c r="C6" s="11">
        <v>150000</v>
      </c>
      <c r="D6" s="9">
        <f>B6-C6</f>
        <v>-50000</v>
      </c>
      <c r="E6" s="11">
        <v>33000</v>
      </c>
      <c r="F6" s="9">
        <f>E6-D6</f>
        <v>83000</v>
      </c>
      <c r="G6" s="11"/>
      <c r="H6" s="10"/>
    </row>
    <row r="7" spans="1:8" x14ac:dyDescent="0.25">
      <c r="A7" s="10"/>
      <c r="B7" s="11"/>
      <c r="C7" s="11"/>
      <c r="D7" s="9"/>
      <c r="E7" s="11"/>
      <c r="F7" s="9"/>
      <c r="G7" s="11"/>
      <c r="H7" s="10"/>
    </row>
    <row r="8" spans="1:8" x14ac:dyDescent="0.25">
      <c r="A8" s="10"/>
      <c r="B8" s="11"/>
      <c r="C8" s="11"/>
      <c r="D8" s="9"/>
      <c r="E8" s="11"/>
      <c r="F8" s="9"/>
      <c r="G8" s="11"/>
      <c r="H8" s="10"/>
    </row>
    <row r="9" spans="1:8" x14ac:dyDescent="0.25">
      <c r="A9" s="10"/>
      <c r="B9" s="11"/>
      <c r="C9" s="11"/>
      <c r="D9" s="9"/>
      <c r="E9" s="11"/>
      <c r="F9" s="9"/>
      <c r="G9" s="11"/>
      <c r="H9" s="10"/>
    </row>
    <row r="10" spans="1:8" x14ac:dyDescent="0.25">
      <c r="A10" s="10"/>
      <c r="B10" s="11"/>
      <c r="C10" s="11"/>
      <c r="D10" s="9"/>
      <c r="E10" s="11"/>
      <c r="F10" s="9"/>
      <c r="G10" s="11"/>
      <c r="H10" s="10"/>
    </row>
    <row r="11" spans="1:8" x14ac:dyDescent="0.25">
      <c r="A11" s="10"/>
      <c r="B11" s="11"/>
      <c r="C11" s="11"/>
      <c r="D11" s="9"/>
      <c r="E11" s="11"/>
      <c r="F11" s="9"/>
      <c r="G11" s="11"/>
      <c r="H11" s="10"/>
    </row>
    <row r="12" spans="1:8" x14ac:dyDescent="0.25">
      <c r="A12" s="10"/>
      <c r="B12" s="11"/>
      <c r="C12" s="11"/>
      <c r="D12" s="9"/>
      <c r="E12" s="11"/>
      <c r="F12" s="9"/>
      <c r="G12" s="11"/>
      <c r="H12" s="10"/>
    </row>
    <row r="13" spans="1:8" x14ac:dyDescent="0.25">
      <c r="A13" s="10"/>
      <c r="B13" s="11"/>
      <c r="C13" s="11"/>
      <c r="D13" s="9"/>
      <c r="E13" s="11"/>
      <c r="F13" s="9"/>
      <c r="G13" s="11"/>
      <c r="H13" s="10"/>
    </row>
    <row r="14" spans="1:8" x14ac:dyDescent="0.25">
      <c r="A14" s="10"/>
      <c r="B14" s="11"/>
      <c r="C14" s="11"/>
      <c r="D14" s="9"/>
      <c r="E14" s="11"/>
      <c r="F14" s="9"/>
      <c r="G14" s="11"/>
      <c r="H14" s="10"/>
    </row>
    <row r="15" spans="1:8" x14ac:dyDescent="0.25">
      <c r="A15" s="10"/>
      <c r="B15" s="11"/>
      <c r="C15" s="11"/>
      <c r="D15" s="9"/>
      <c r="E15" s="11"/>
      <c r="F15" s="9"/>
      <c r="G15" s="11"/>
      <c r="H15" s="10"/>
    </row>
    <row r="16" spans="1:8" x14ac:dyDescent="0.25">
      <c r="A16" s="10"/>
      <c r="B16" s="11"/>
      <c r="C16" s="11"/>
      <c r="D16" s="9"/>
      <c r="E16" s="11"/>
      <c r="F16" s="9"/>
      <c r="G16" s="11"/>
      <c r="H16" s="10"/>
    </row>
    <row r="17" spans="1:8" x14ac:dyDescent="0.25">
      <c r="A17" s="10"/>
      <c r="B17" s="11"/>
      <c r="C17" s="11"/>
      <c r="D17" s="9"/>
      <c r="E17" s="11"/>
      <c r="F17" s="9"/>
      <c r="G17" s="11"/>
      <c r="H17" s="10"/>
    </row>
    <row r="18" spans="1:8" x14ac:dyDescent="0.25">
      <c r="A18" s="10"/>
      <c r="B18" s="11"/>
      <c r="C18" s="11"/>
      <c r="D18" s="9"/>
      <c r="E18" s="11"/>
      <c r="F18" s="9"/>
      <c r="G18" s="11"/>
      <c r="H18" s="10"/>
    </row>
    <row r="19" spans="1:8" x14ac:dyDescent="0.25">
      <c r="A19" s="10"/>
      <c r="B19" s="11"/>
      <c r="C19" s="11"/>
      <c r="D19" s="9"/>
      <c r="E19" s="11"/>
      <c r="F19" s="9"/>
      <c r="G19" s="11"/>
      <c r="H19" s="10"/>
    </row>
    <row r="20" spans="1:8" x14ac:dyDescent="0.25">
      <c r="A20" s="10"/>
      <c r="B20" s="11"/>
      <c r="C20" s="11"/>
      <c r="D20" s="9"/>
      <c r="E20" s="11"/>
      <c r="F20" s="9"/>
      <c r="G20" s="11"/>
      <c r="H20" s="10"/>
    </row>
    <row r="21" spans="1:8" hidden="1" x14ac:dyDescent="0.25">
      <c r="A21" s="10"/>
      <c r="B21" s="11"/>
      <c r="C21" s="11"/>
      <c r="D21" s="9"/>
      <c r="E21" s="11"/>
      <c r="F21" s="9"/>
      <c r="G21" s="11"/>
      <c r="H21" s="10"/>
    </row>
    <row r="22" spans="1:8" hidden="1" x14ac:dyDescent="0.25">
      <c r="A22" s="10"/>
      <c r="B22" s="11"/>
      <c r="C22" s="11"/>
      <c r="D22" s="9"/>
      <c r="E22" s="11"/>
      <c r="F22" s="9"/>
      <c r="G22" s="11"/>
      <c r="H22" s="10"/>
    </row>
    <row r="23" spans="1:8" hidden="1" x14ac:dyDescent="0.25">
      <c r="A23" s="10"/>
      <c r="B23" s="11"/>
      <c r="C23" s="11"/>
      <c r="D23" s="9"/>
      <c r="E23" s="11"/>
      <c r="F23" s="9"/>
      <c r="G23" s="11"/>
      <c r="H23" s="10"/>
    </row>
    <row r="24" spans="1:8" hidden="1" x14ac:dyDescent="0.25">
      <c r="A24" s="10"/>
      <c r="B24" s="11"/>
      <c r="C24" s="11"/>
      <c r="D24" s="9"/>
      <c r="E24" s="11"/>
      <c r="F24" s="9"/>
      <c r="G24" s="11"/>
      <c r="H24" s="10"/>
    </row>
    <row r="25" spans="1:8" hidden="1" x14ac:dyDescent="0.25">
      <c r="A25" s="10"/>
      <c r="B25" s="11"/>
      <c r="C25" s="11"/>
      <c r="D25" s="9"/>
      <c r="E25" s="11"/>
      <c r="F25" s="9"/>
      <c r="G25" s="11"/>
      <c r="H25" s="10"/>
    </row>
    <row r="26" spans="1:8" hidden="1" x14ac:dyDescent="0.25">
      <c r="A26" s="10"/>
      <c r="B26" s="11"/>
      <c r="C26" s="11"/>
      <c r="D26" s="9"/>
      <c r="E26" s="11"/>
      <c r="F26" s="9"/>
      <c r="G26" s="11"/>
      <c r="H26" s="10"/>
    </row>
    <row r="27" spans="1:8" hidden="1" x14ac:dyDescent="0.25">
      <c r="A27" s="10"/>
      <c r="B27" s="11"/>
      <c r="C27" s="11"/>
      <c r="D27" s="9"/>
      <c r="E27" s="11"/>
      <c r="F27" s="9"/>
      <c r="G27" s="11"/>
      <c r="H27" s="10"/>
    </row>
    <row r="28" spans="1:8" hidden="1" x14ac:dyDescent="0.25">
      <c r="A28" s="10"/>
      <c r="B28" s="11"/>
      <c r="C28" s="11"/>
      <c r="D28" s="9"/>
      <c r="E28" s="11"/>
      <c r="F28" s="9"/>
      <c r="G28" s="11"/>
      <c r="H28" s="10"/>
    </row>
    <row r="29" spans="1:8" hidden="1" x14ac:dyDescent="0.25">
      <c r="A29" s="10"/>
      <c r="B29" s="11"/>
      <c r="C29" s="11"/>
      <c r="D29" s="9"/>
      <c r="E29" s="11"/>
      <c r="F29" s="9"/>
      <c r="G29" s="11"/>
      <c r="H29" s="10"/>
    </row>
    <row r="30" spans="1:8" hidden="1" x14ac:dyDescent="0.25">
      <c r="A30" s="10"/>
      <c r="B30" s="11"/>
      <c r="C30" s="11"/>
      <c r="D30" s="9"/>
      <c r="E30" s="11"/>
      <c r="F30" s="9"/>
      <c r="G30" s="11"/>
      <c r="H30" s="10"/>
    </row>
    <row r="31" spans="1:8" hidden="1" x14ac:dyDescent="0.25">
      <c r="A31" s="10"/>
      <c r="B31" s="11"/>
      <c r="C31" s="11"/>
      <c r="D31" s="9"/>
      <c r="E31" s="11"/>
      <c r="F31" s="9"/>
      <c r="G31" s="11"/>
      <c r="H31" s="10"/>
    </row>
    <row r="32" spans="1:8" hidden="1" x14ac:dyDescent="0.25">
      <c r="A32" s="10"/>
      <c r="B32" s="11"/>
      <c r="C32" s="11"/>
      <c r="D32" s="9"/>
      <c r="E32" s="11"/>
      <c r="F32" s="9"/>
      <c r="G32" s="11"/>
      <c r="H32" s="10"/>
    </row>
    <row r="33" spans="1:8" hidden="1" x14ac:dyDescent="0.25">
      <c r="A33" s="10"/>
      <c r="B33" s="11"/>
      <c r="C33" s="11"/>
      <c r="D33" s="9"/>
      <c r="E33" s="11"/>
      <c r="F33" s="9"/>
      <c r="G33" s="11"/>
      <c r="H33" s="10"/>
    </row>
    <row r="34" spans="1:8" hidden="1" x14ac:dyDescent="0.25">
      <c r="A34" s="10"/>
      <c r="B34" s="11"/>
      <c r="C34" s="11"/>
      <c r="D34" s="9"/>
      <c r="E34" s="11"/>
      <c r="F34" s="9"/>
      <c r="G34" s="11"/>
      <c r="H34" s="10"/>
    </row>
    <row r="35" spans="1:8" hidden="1" x14ac:dyDescent="0.25">
      <c r="A35" s="10"/>
      <c r="B35" s="11"/>
      <c r="C35" s="11"/>
      <c r="D35" s="9"/>
      <c r="E35" s="11"/>
      <c r="F35" s="9"/>
      <c r="G35" s="11"/>
      <c r="H35" s="10"/>
    </row>
    <row r="36" spans="1:8" hidden="1" x14ac:dyDescent="0.25">
      <c r="A36" s="10"/>
      <c r="B36" s="11"/>
      <c r="C36" s="11"/>
      <c r="D36" s="9"/>
      <c r="E36" s="11"/>
      <c r="F36" s="9"/>
      <c r="G36" s="11"/>
      <c r="H36" s="10"/>
    </row>
    <row r="37" spans="1:8" hidden="1" x14ac:dyDescent="0.25">
      <c r="A37" s="10"/>
      <c r="B37" s="11"/>
      <c r="C37" s="11"/>
      <c r="D37" s="9"/>
      <c r="E37" s="11"/>
      <c r="F37" s="9"/>
      <c r="G37" s="11"/>
      <c r="H37" s="10"/>
    </row>
    <row r="38" spans="1:8" hidden="1" x14ac:dyDescent="0.25">
      <c r="A38" s="10"/>
      <c r="B38" s="11"/>
      <c r="C38" s="11"/>
      <c r="D38" s="9"/>
      <c r="E38" s="11"/>
      <c r="F38" s="9"/>
      <c r="G38" s="11"/>
      <c r="H38" s="10"/>
    </row>
    <row r="39" spans="1:8" hidden="1" x14ac:dyDescent="0.25">
      <c r="A39" s="10"/>
      <c r="B39" s="11"/>
      <c r="C39" s="11"/>
      <c r="D39" s="9"/>
      <c r="E39" s="11"/>
      <c r="F39" s="9"/>
      <c r="G39" s="11"/>
      <c r="H39" s="10"/>
    </row>
    <row r="40" spans="1:8" hidden="1" x14ac:dyDescent="0.25">
      <c r="A40" s="10"/>
      <c r="B40" s="11"/>
      <c r="C40" s="11"/>
      <c r="D40" s="9"/>
      <c r="E40" s="11"/>
      <c r="F40" s="9"/>
      <c r="G40" s="11"/>
      <c r="H40" s="10"/>
    </row>
    <row r="41" spans="1:8" hidden="1" x14ac:dyDescent="0.25">
      <c r="A41" s="10"/>
      <c r="B41" s="11"/>
      <c r="C41" s="11"/>
      <c r="D41" s="9"/>
      <c r="E41" s="11"/>
      <c r="F41" s="9"/>
      <c r="G41" s="11"/>
      <c r="H41" s="10"/>
    </row>
    <row r="42" spans="1:8" hidden="1" x14ac:dyDescent="0.25">
      <c r="A42" s="10"/>
      <c r="B42" s="11"/>
      <c r="C42" s="11"/>
      <c r="D42" s="9"/>
      <c r="E42" s="11"/>
      <c r="F42" s="9"/>
      <c r="G42" s="11"/>
      <c r="H42" s="10"/>
    </row>
    <row r="43" spans="1:8" hidden="1" x14ac:dyDescent="0.25">
      <c r="A43" s="10"/>
      <c r="B43" s="11"/>
      <c r="C43" s="11"/>
      <c r="D43" s="9"/>
      <c r="E43" s="11"/>
      <c r="F43" s="9"/>
      <c r="G43" s="11"/>
      <c r="H43" s="10"/>
    </row>
    <row r="44" spans="1:8" hidden="1" x14ac:dyDescent="0.25">
      <c r="A44" s="10"/>
      <c r="B44" s="11"/>
      <c r="C44" s="11"/>
      <c r="D44" s="9"/>
      <c r="E44" s="11"/>
      <c r="F44" s="9"/>
      <c r="G44" s="11"/>
      <c r="H44" s="10"/>
    </row>
    <row r="45" spans="1:8" hidden="1" x14ac:dyDescent="0.25">
      <c r="A45" s="10"/>
      <c r="B45" s="11"/>
      <c r="C45" s="11"/>
      <c r="D45" s="9"/>
      <c r="E45" s="11"/>
      <c r="F45" s="9"/>
      <c r="G45" s="11"/>
      <c r="H45" s="10"/>
    </row>
    <row r="46" spans="1:8" ht="15.75" thickBot="1" x14ac:dyDescent="0.3">
      <c r="A46" s="10"/>
      <c r="B46" s="11"/>
      <c r="C46" s="11"/>
      <c r="D46" s="9"/>
      <c r="E46" s="11"/>
      <c r="F46" s="9"/>
      <c r="G46" s="11"/>
      <c r="H46" s="10"/>
    </row>
    <row r="47" spans="1:8" x14ac:dyDescent="0.25">
      <c r="A47" s="12"/>
      <c r="B47" s="3">
        <f>SUM(B6:B46)</f>
        <v>100000</v>
      </c>
      <c r="C47" s="3">
        <f t="shared" ref="C47:D47" si="0">SUM(C6:C46)</f>
        <v>150000</v>
      </c>
      <c r="D47" s="3">
        <f t="shared" si="0"/>
        <v>-50000</v>
      </c>
      <c r="E47" s="3">
        <f t="shared" ref="E47" si="1">SUM(E6:E46)</f>
        <v>33000</v>
      </c>
      <c r="F47" s="13">
        <f t="shared" ref="F47" si="2">SUM(F6:F46)</f>
        <v>83000</v>
      </c>
      <c r="G47" s="3"/>
      <c r="H47" s="12"/>
    </row>
    <row r="48" spans="1:8" ht="15.75" thickBot="1" x14ac:dyDescent="0.3"/>
    <row r="49" spans="1:4" ht="15.75" thickBot="1" x14ac:dyDescent="0.3">
      <c r="A49" s="15" t="s">
        <v>11</v>
      </c>
      <c r="B49" s="16"/>
      <c r="C49" s="16"/>
      <c r="D49" s="14">
        <f>F47</f>
        <v>83000</v>
      </c>
    </row>
  </sheetData>
  <mergeCells count="2">
    <mergeCell ref="B3:D3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105C-7378-4B7A-9C9F-C5026BBFC7C9}">
  <dimension ref="A1:B6"/>
  <sheetViews>
    <sheetView workbookViewId="0">
      <selection activeCell="C9" sqref="C9"/>
    </sheetView>
  </sheetViews>
  <sheetFormatPr defaultRowHeight="15" x14ac:dyDescent="0.25"/>
  <cols>
    <col min="1" max="1" width="27.5703125" bestFit="1" customWidth="1"/>
    <col min="2" max="2" width="9.85546875" bestFit="1" customWidth="1"/>
  </cols>
  <sheetData>
    <row r="1" spans="1:2" x14ac:dyDescent="0.25">
      <c r="A1" s="8" t="s">
        <v>12</v>
      </c>
      <c r="B1" s="17">
        <f>'1. OHW Correctie'!B47</f>
        <v>100000</v>
      </c>
    </row>
    <row r="2" spans="1:2" x14ac:dyDescent="0.25">
      <c r="A2" s="8" t="s">
        <v>1</v>
      </c>
      <c r="B2" s="17">
        <f>'1. OHW Correctie'!C47</f>
        <v>150000</v>
      </c>
    </row>
    <row r="3" spans="1:2" x14ac:dyDescent="0.25">
      <c r="A3" s="8" t="s">
        <v>13</v>
      </c>
      <c r="B3" s="17">
        <f>B1-B2</f>
        <v>-50000</v>
      </c>
    </row>
    <row r="4" spans="1:2" x14ac:dyDescent="0.25">
      <c r="A4" s="8"/>
      <c r="B4" s="17"/>
    </row>
    <row r="5" spans="1:2" x14ac:dyDescent="0.25">
      <c r="A5" s="8" t="s">
        <v>14</v>
      </c>
      <c r="B5" s="17">
        <f>'1. OHW Correctie'!F47</f>
        <v>83000</v>
      </c>
    </row>
    <row r="6" spans="1:2" x14ac:dyDescent="0.25">
      <c r="A6" s="8" t="s">
        <v>15</v>
      </c>
      <c r="B6" s="17">
        <f>B3+B5</f>
        <v>33000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5CE1A-CB97-4065-B529-E6EE9F7146B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1. OHW Correctie</vt:lpstr>
      <vt:lpstr>2. Resultaat hoofdadministratie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mcharing@bisqq.nl</dc:creator>
  <cp:lastModifiedBy>mcharing@bisqq.nl</cp:lastModifiedBy>
  <dcterms:created xsi:type="dcterms:W3CDTF">2021-02-07T21:14:25Z</dcterms:created>
  <dcterms:modified xsi:type="dcterms:W3CDTF">2021-03-07T19:44:04Z</dcterms:modified>
</cp:coreProperties>
</file>